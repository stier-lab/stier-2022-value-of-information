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24"/>
  <workbookPr showInkAnnotation="0" autoCompressPictures="0"/>
  <bookViews>
    <workbookView xWindow="0" yWindow="0" windowWidth="50300" windowHeight="284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2" i="1" l="1"/>
  <c r="M2" i="1"/>
  <c r="M3" i="1"/>
  <c r="M4" i="1"/>
  <c r="M5" i="1"/>
  <c r="M6" i="1"/>
  <c r="M7" i="1"/>
  <c r="M8" i="1"/>
  <c r="M9" i="1"/>
  <c r="M10" i="1"/>
  <c r="M11" i="1"/>
  <c r="N3" i="1"/>
  <c r="N4" i="1"/>
  <c r="N5" i="1"/>
  <c r="N6" i="1"/>
  <c r="N7" i="1"/>
  <c r="N8" i="1"/>
  <c r="N9" i="1"/>
  <c r="N10" i="1"/>
  <c r="N11" i="1"/>
  <c r="B23" i="1"/>
  <c r="C3" i="1"/>
  <c r="G3" i="1"/>
  <c r="C4" i="1"/>
  <c r="G4" i="1"/>
  <c r="C5" i="1"/>
  <c r="G5" i="1"/>
  <c r="C6" i="1"/>
  <c r="G6" i="1"/>
  <c r="C7" i="1"/>
  <c r="G7" i="1"/>
  <c r="C8" i="1"/>
  <c r="G8" i="1"/>
  <c r="C9" i="1"/>
  <c r="G9" i="1"/>
  <c r="C10" i="1"/>
  <c r="G10" i="1"/>
  <c r="C11" i="1"/>
  <c r="G11" i="1"/>
  <c r="C12" i="1"/>
  <c r="G12" i="1"/>
  <c r="C13" i="1"/>
  <c r="G13" i="1"/>
  <c r="C14" i="1"/>
  <c r="G14" i="1"/>
  <c r="C15" i="1"/>
  <c r="G15" i="1"/>
  <c r="C16" i="1"/>
  <c r="G16" i="1"/>
  <c r="C17" i="1"/>
  <c r="G17" i="1"/>
  <c r="C18" i="1"/>
  <c r="G18" i="1"/>
  <c r="C19" i="1"/>
  <c r="G19" i="1"/>
  <c r="C20" i="1"/>
  <c r="G20" i="1"/>
  <c r="C21" i="1"/>
  <c r="G21" i="1"/>
  <c r="C2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G25" i="1"/>
  <c r="F25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5" i="1"/>
  <c r="D16" i="1"/>
  <c r="D17" i="1"/>
  <c r="D18" i="1"/>
  <c r="D19" i="1"/>
  <c r="D20" i="1"/>
  <c r="D21" i="1"/>
  <c r="D9" i="1"/>
  <c r="D10" i="1"/>
  <c r="D11" i="1"/>
  <c r="D4" i="1"/>
  <c r="D5" i="1"/>
  <c r="D6" i="1"/>
  <c r="D7" i="1"/>
  <c r="D8" i="1"/>
  <c r="D12" i="1"/>
  <c r="D13" i="1"/>
  <c r="D14" i="1"/>
  <c r="D15" i="1"/>
  <c r="D25" i="1"/>
  <c r="D3" i="1"/>
  <c r="D2" i="1"/>
  <c r="C23" i="1"/>
</calcChain>
</file>

<file path=xl/sharedStrings.xml><?xml version="1.0" encoding="utf-8"?>
<sst xmlns="http://schemas.openxmlformats.org/spreadsheetml/2006/main" count="13" uniqueCount="13">
  <si>
    <t>time</t>
  </si>
  <si>
    <t>cv</t>
  </si>
  <si>
    <t>cv dynamic</t>
  </si>
  <si>
    <t>average</t>
  </si>
  <si>
    <t>cumulative cost</t>
  </si>
  <si>
    <t>cv consistent</t>
  </si>
  <si>
    <t>alpha</t>
  </si>
  <si>
    <t>cost dynamic inverse</t>
  </si>
  <si>
    <t>cost consistent inverse</t>
  </si>
  <si>
    <t>cost dynamic exponential</t>
  </si>
  <si>
    <t>cost consistent exponential</t>
  </si>
  <si>
    <t>cost exponential</t>
  </si>
  <si>
    <t>cost inverse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</si>
</sst>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Fon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cost exponential</c:v>
                </c:pt>
              </c:strCache>
            </c:strRef>
          </c:tx>
          <c:spPr>
            <a:ln w="47625">
              <a:noFill/>
            </a:ln>
          </c:spPr>
          <c:xVal>
            <c:numRef>
              <c:f>Sheet1!$L$2:$L$11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1.0</c:v>
                </c:pt>
              </c:numCache>
            </c:numRef>
          </c:xVal>
          <c:yVal>
            <c:numRef>
              <c:f>Sheet1!$M$2:$M$11</c:f>
              <c:numCache>
                <c:formatCode>General</c:formatCode>
                <c:ptCount val="10"/>
                <c:pt idx="0">
                  <c:v>4.493289641172215</c:v>
                </c:pt>
                <c:pt idx="1">
                  <c:v>2.018965179946554</c:v>
                </c:pt>
                <c:pt idx="2">
                  <c:v>0.907179532894125</c:v>
                </c:pt>
                <c:pt idx="3">
                  <c:v>0.407622039783662</c:v>
                </c:pt>
                <c:pt idx="4">
                  <c:v>0.183156388887342</c:v>
                </c:pt>
                <c:pt idx="5">
                  <c:v>0.0822974704902003</c:v>
                </c:pt>
                <c:pt idx="6">
                  <c:v>0.0369786371648293</c:v>
                </c:pt>
                <c:pt idx="7">
                  <c:v>0.0166155727317393</c:v>
                </c:pt>
                <c:pt idx="8">
                  <c:v>0.00746585808376679</c:v>
                </c:pt>
                <c:pt idx="9">
                  <c:v>0.00335462627902512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Sheet1!$N$1</c:f>
              <c:strCache>
                <c:ptCount val="1"/>
                <c:pt idx="0">
                  <c:v>cost inverse</c:v>
                </c:pt>
              </c:strCache>
            </c:strRef>
          </c:tx>
          <c:spPr>
            <a:ln w="47625">
              <a:noFill/>
            </a:ln>
          </c:spPr>
          <c:xVal>
            <c:numRef>
              <c:f>Sheet1!$L$2:$L$11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1.0</c:v>
                </c:pt>
              </c:numCache>
            </c:numRef>
          </c:xVal>
          <c:yVal>
            <c:numRef>
              <c:f>Sheet1!$N$2:$N$11</c:f>
              <c:numCache>
                <c:formatCode>General</c:formatCode>
                <c:ptCount val="10"/>
                <c:pt idx="0">
                  <c:v>10.0</c:v>
                </c:pt>
                <c:pt idx="1">
                  <c:v>5.0</c:v>
                </c:pt>
                <c:pt idx="2">
                  <c:v>3.333333333333333</c:v>
                </c:pt>
                <c:pt idx="3">
                  <c:v>2.5</c:v>
                </c:pt>
                <c:pt idx="4">
                  <c:v>2.0</c:v>
                </c:pt>
                <c:pt idx="5">
                  <c:v>1.666666666666667</c:v>
                </c:pt>
                <c:pt idx="6">
                  <c:v>1.428571428571429</c:v>
                </c:pt>
                <c:pt idx="7">
                  <c:v>1.25</c:v>
                </c:pt>
                <c:pt idx="8">
                  <c:v>1.111111111111111</c:v>
                </c:pt>
                <c:pt idx="9">
                  <c:v>1.0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864376"/>
        <c:axId val="2115508648"/>
      </c:scatterChart>
      <c:valAx>
        <c:axId val="2115864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15508648"/>
        <c:crosses val="autoZero"/>
        <c:crossBetween val="midCat"/>
      </c:valAx>
      <c:valAx>
        <c:axId val="21155086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1586437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160867</xdr:colOff>
      <xdr:row>14</xdr:row>
      <xdr:rowOff>101599</xdr:rowOff>
    </xdr:from>
    <xdr:to>
      <xdr:col>15</xdr:col>
      <xdr:colOff>482600</xdr:colOff>
      <xdr:row>28</xdr:row>
      <xdr:rowOff>118533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tabSelected="1" topLeftCell="H1" zoomScale="150" zoomScaleNormal="150" zoomScalePageLayoutView="150" workbookViewId="0">
      <selection activeCell="K7" activeCellId="1" sqref="K7 K7"/>
    </sheetView>
  </sheetViews>
  <sheetFormatPr baseColWidth="10" defaultRowHeight="15" x14ac:dyDescent="0"/>
  <cols>
    <col min="4" max="4" width="12" bestFit="1" customWidth="1"/>
    <col min="13" max="13" width="12.1640625" bestFit="1" customWidth="1"/>
  </cols>
  <sheetData>
    <row r="1" spans="1:17">
      <c r="A1" t="s">
        <v>0</v>
      </c>
      <c r="B1" t="s">
        <v>2</v>
      </c>
      <c r="C1" t="s">
        <v>5</v>
      </c>
      <c r="D1" t="s">
        <v>7</v>
      </c>
      <c r="E1" t="s">
        <v>8</v>
      </c>
      <c r="F1" t="s">
        <v>9</v>
      </c>
      <c r="G1" t="s">
        <v>10</v>
      </c>
      <c r="L1" t="s">
        <v>1</v>
      </c>
      <c r="M1" t="s">
        <v>11</v>
      </c>
      <c r="N1" t="s">
        <v>12</v>
      </c>
    </row>
    <row r="2" spans="1:17">
      <c r="A2">
        <v>1</v>
      </c>
      <c r="B2">
        <v>0.5</v>
      </c>
      <c r="C2">
        <f>$B$23</f>
        <v>0.45999999999999996</v>
      </c>
      <c r="D2">
        <f>1/B2</f>
        <v>2</v>
      </c>
      <c r="E2">
        <f>1/C2</f>
        <v>2.1739130434782612</v>
      </c>
      <c r="F2">
        <f>EXP(-$K$2*B2)</f>
        <v>1.8315638888734179E-2</v>
      </c>
      <c r="G2" s="1">
        <f>EXP(-$K$2*C2)</f>
        <v>2.5222974835227223E-2</v>
      </c>
      <c r="J2" t="s">
        <v>6</v>
      </c>
      <c r="K2">
        <v>8</v>
      </c>
      <c r="L2">
        <v>0.1</v>
      </c>
      <c r="M2">
        <f>10*EXP(-$K$2*L2)</f>
        <v>4.4932896411722156</v>
      </c>
      <c r="N2">
        <f>1/L2</f>
        <v>10</v>
      </c>
      <c r="P2">
        <v>0.1</v>
      </c>
      <c r="Q2">
        <v>10</v>
      </c>
    </row>
    <row r="3" spans="1:17">
      <c r="A3">
        <v>2</v>
      </c>
      <c r="B3">
        <v>0.5</v>
      </c>
      <c r="C3">
        <f t="shared" ref="C3:C21" si="0">$B$23</f>
        <v>0.45999999999999996</v>
      </c>
      <c r="D3">
        <f t="shared" ref="D3:D21" si="1">1/B3</f>
        <v>2</v>
      </c>
      <c r="E3">
        <f t="shared" ref="E3:E21" si="2">1/C3</f>
        <v>2.1739130434782612</v>
      </c>
      <c r="F3">
        <f t="shared" ref="F3:F21" si="3">EXP(-$K$2*B3)</f>
        <v>1.8315638888734179E-2</v>
      </c>
      <c r="G3" s="1">
        <f t="shared" ref="G3:G21" si="4">EXP(-$K$2*C3)</f>
        <v>2.5222974835227223E-2</v>
      </c>
      <c r="L3">
        <v>0.2</v>
      </c>
      <c r="M3">
        <f t="shared" ref="M3:M11" si="5">10*EXP(-$K$2*L3)</f>
        <v>2.0189651799465538</v>
      </c>
      <c r="N3">
        <f t="shared" ref="N3:N11" si="6">1/L3</f>
        <v>5</v>
      </c>
      <c r="P3">
        <v>0.2</v>
      </c>
    </row>
    <row r="4" spans="1:17">
      <c r="A4">
        <v>3</v>
      </c>
      <c r="B4">
        <v>0.5</v>
      </c>
      <c r="C4">
        <f t="shared" si="0"/>
        <v>0.45999999999999996</v>
      </c>
      <c r="D4">
        <f t="shared" si="1"/>
        <v>2</v>
      </c>
      <c r="E4">
        <f t="shared" si="2"/>
        <v>2.1739130434782612</v>
      </c>
      <c r="F4">
        <f t="shared" si="3"/>
        <v>1.8315638888734179E-2</v>
      </c>
      <c r="G4" s="1">
        <f t="shared" si="4"/>
        <v>2.5222974835227223E-2</v>
      </c>
      <c r="L4">
        <v>0.3</v>
      </c>
      <c r="M4">
        <f t="shared" si="5"/>
        <v>0.90717953289412512</v>
      </c>
      <c r="N4">
        <f t="shared" si="6"/>
        <v>3.3333333333333335</v>
      </c>
      <c r="P4">
        <v>0.3</v>
      </c>
    </row>
    <row r="5" spans="1:17">
      <c r="A5">
        <v>4</v>
      </c>
      <c r="B5">
        <v>0.5</v>
      </c>
      <c r="C5">
        <f t="shared" si="0"/>
        <v>0.45999999999999996</v>
      </c>
      <c r="D5">
        <f t="shared" si="1"/>
        <v>2</v>
      </c>
      <c r="E5">
        <f t="shared" si="2"/>
        <v>2.1739130434782612</v>
      </c>
      <c r="F5">
        <f t="shared" si="3"/>
        <v>1.8315638888734179E-2</v>
      </c>
      <c r="G5" s="1">
        <f t="shared" si="4"/>
        <v>2.5222974835227223E-2</v>
      </c>
      <c r="L5">
        <v>0.4</v>
      </c>
      <c r="M5">
        <f t="shared" si="5"/>
        <v>0.40762203978366213</v>
      </c>
      <c r="N5">
        <f t="shared" si="6"/>
        <v>2.5</v>
      </c>
      <c r="P5">
        <v>0.4</v>
      </c>
    </row>
    <row r="6" spans="1:17">
      <c r="A6">
        <v>5</v>
      </c>
      <c r="B6">
        <v>0.5</v>
      </c>
      <c r="C6">
        <f t="shared" si="0"/>
        <v>0.45999999999999996</v>
      </c>
      <c r="D6">
        <f t="shared" si="1"/>
        <v>2</v>
      </c>
      <c r="E6">
        <f t="shared" si="2"/>
        <v>2.1739130434782612</v>
      </c>
      <c r="F6">
        <f t="shared" si="3"/>
        <v>1.8315638888734179E-2</v>
      </c>
      <c r="G6" s="1">
        <f t="shared" si="4"/>
        <v>2.5222974835227223E-2</v>
      </c>
      <c r="L6">
        <v>0.5</v>
      </c>
      <c r="M6">
        <f t="shared" si="5"/>
        <v>0.18315638888734179</v>
      </c>
      <c r="N6">
        <f t="shared" si="6"/>
        <v>2</v>
      </c>
      <c r="P6">
        <v>0.5</v>
      </c>
      <c r="Q6">
        <v>50</v>
      </c>
    </row>
    <row r="7" spans="1:17">
      <c r="A7">
        <v>6</v>
      </c>
      <c r="B7">
        <v>0.5</v>
      </c>
      <c r="C7">
        <f t="shared" si="0"/>
        <v>0.45999999999999996</v>
      </c>
      <c r="D7">
        <f t="shared" si="1"/>
        <v>2</v>
      </c>
      <c r="E7">
        <f t="shared" si="2"/>
        <v>2.1739130434782612</v>
      </c>
      <c r="F7">
        <f t="shared" si="3"/>
        <v>1.8315638888734179E-2</v>
      </c>
      <c r="G7" s="1">
        <f t="shared" si="4"/>
        <v>2.5222974835227223E-2</v>
      </c>
      <c r="L7">
        <v>0.6</v>
      </c>
      <c r="M7">
        <f t="shared" si="5"/>
        <v>8.2297470490200308E-2</v>
      </c>
      <c r="N7">
        <f t="shared" si="6"/>
        <v>1.6666666666666667</v>
      </c>
    </row>
    <row r="8" spans="1:17">
      <c r="A8">
        <v>7</v>
      </c>
      <c r="B8">
        <v>0.5</v>
      </c>
      <c r="C8">
        <f t="shared" si="0"/>
        <v>0.45999999999999996</v>
      </c>
      <c r="D8">
        <f t="shared" si="1"/>
        <v>2</v>
      </c>
      <c r="E8">
        <f t="shared" si="2"/>
        <v>2.1739130434782612</v>
      </c>
      <c r="F8">
        <f t="shared" si="3"/>
        <v>1.8315638888734179E-2</v>
      </c>
      <c r="G8" s="1">
        <f t="shared" si="4"/>
        <v>2.5222974835227223E-2</v>
      </c>
      <c r="L8">
        <v>0.7</v>
      </c>
      <c r="M8">
        <f t="shared" si="5"/>
        <v>3.6978637164829319E-2</v>
      </c>
      <c r="N8">
        <f t="shared" si="6"/>
        <v>1.4285714285714286</v>
      </c>
    </row>
    <row r="9" spans="1:17">
      <c r="A9">
        <v>8</v>
      </c>
      <c r="B9">
        <v>0.5</v>
      </c>
      <c r="C9">
        <f t="shared" si="0"/>
        <v>0.45999999999999996</v>
      </c>
      <c r="D9">
        <f t="shared" si="1"/>
        <v>2</v>
      </c>
      <c r="E9">
        <f t="shared" si="2"/>
        <v>2.1739130434782612</v>
      </c>
      <c r="F9">
        <f t="shared" si="3"/>
        <v>1.8315638888734179E-2</v>
      </c>
      <c r="G9" s="1">
        <f t="shared" si="4"/>
        <v>2.5222974835227223E-2</v>
      </c>
      <c r="L9">
        <v>0.8</v>
      </c>
      <c r="M9">
        <f t="shared" si="5"/>
        <v>1.6615572731739338E-2</v>
      </c>
      <c r="N9">
        <f t="shared" si="6"/>
        <v>1.25</v>
      </c>
    </row>
    <row r="10" spans="1:17">
      <c r="A10">
        <v>9</v>
      </c>
      <c r="B10">
        <v>0.5</v>
      </c>
      <c r="C10">
        <f t="shared" si="0"/>
        <v>0.45999999999999996</v>
      </c>
      <c r="D10">
        <f t="shared" si="1"/>
        <v>2</v>
      </c>
      <c r="E10">
        <f t="shared" si="2"/>
        <v>2.1739130434782612</v>
      </c>
      <c r="F10">
        <f t="shared" si="3"/>
        <v>1.8315638888734179E-2</v>
      </c>
      <c r="G10" s="1">
        <f t="shared" si="4"/>
        <v>2.5222974835227223E-2</v>
      </c>
      <c r="L10">
        <v>0.9</v>
      </c>
      <c r="M10">
        <f t="shared" si="5"/>
        <v>7.4658580837667918E-3</v>
      </c>
      <c r="N10">
        <f t="shared" si="6"/>
        <v>1.1111111111111112</v>
      </c>
    </row>
    <row r="11" spans="1:17">
      <c r="A11">
        <v>10</v>
      </c>
      <c r="B11">
        <v>0.5</v>
      </c>
      <c r="C11">
        <f t="shared" si="0"/>
        <v>0.45999999999999996</v>
      </c>
      <c r="D11">
        <f t="shared" si="1"/>
        <v>2</v>
      </c>
      <c r="E11">
        <f t="shared" si="2"/>
        <v>2.1739130434782612</v>
      </c>
      <c r="F11">
        <f t="shared" si="3"/>
        <v>1.8315638888734179E-2</v>
      </c>
      <c r="G11" s="1">
        <f t="shared" si="4"/>
        <v>2.5222974835227223E-2</v>
      </c>
      <c r="L11">
        <v>1</v>
      </c>
      <c r="M11">
        <f t="shared" si="5"/>
        <v>3.3546262790251184E-3</v>
      </c>
      <c r="N11">
        <f t="shared" si="6"/>
        <v>1</v>
      </c>
    </row>
    <row r="12" spans="1:17">
      <c r="A12">
        <v>11</v>
      </c>
      <c r="B12">
        <v>0.5</v>
      </c>
      <c r="C12">
        <f t="shared" si="0"/>
        <v>0.45999999999999996</v>
      </c>
      <c r="D12">
        <f t="shared" si="1"/>
        <v>2</v>
      </c>
      <c r="E12">
        <f t="shared" si="2"/>
        <v>2.1739130434782612</v>
      </c>
      <c r="F12">
        <f t="shared" si="3"/>
        <v>1.8315638888734179E-2</v>
      </c>
      <c r="G12" s="1">
        <f t="shared" si="4"/>
        <v>2.5222974835227223E-2</v>
      </c>
    </row>
    <row r="13" spans="1:17">
      <c r="A13">
        <v>12</v>
      </c>
      <c r="B13">
        <v>0.5</v>
      </c>
      <c r="C13">
        <f t="shared" si="0"/>
        <v>0.45999999999999996</v>
      </c>
      <c r="D13">
        <f t="shared" si="1"/>
        <v>2</v>
      </c>
      <c r="E13">
        <f t="shared" si="2"/>
        <v>2.1739130434782612</v>
      </c>
      <c r="F13">
        <f t="shared" si="3"/>
        <v>1.8315638888734179E-2</v>
      </c>
      <c r="G13" s="1">
        <f t="shared" si="4"/>
        <v>2.5222974835227223E-2</v>
      </c>
    </row>
    <row r="14" spans="1:17">
      <c r="A14">
        <v>13</v>
      </c>
      <c r="B14">
        <v>0.5</v>
      </c>
      <c r="C14">
        <f t="shared" si="0"/>
        <v>0.45999999999999996</v>
      </c>
      <c r="D14">
        <f t="shared" si="1"/>
        <v>2</v>
      </c>
      <c r="E14">
        <f t="shared" si="2"/>
        <v>2.1739130434782612</v>
      </c>
      <c r="F14">
        <f t="shared" si="3"/>
        <v>1.8315638888734179E-2</v>
      </c>
      <c r="G14" s="1">
        <f t="shared" si="4"/>
        <v>2.5222974835227223E-2</v>
      </c>
    </row>
    <row r="15" spans="1:17">
      <c r="A15">
        <v>14</v>
      </c>
      <c r="B15">
        <v>0.5</v>
      </c>
      <c r="C15">
        <f t="shared" si="0"/>
        <v>0.45999999999999996</v>
      </c>
      <c r="D15">
        <f t="shared" si="1"/>
        <v>2</v>
      </c>
      <c r="E15">
        <f t="shared" si="2"/>
        <v>2.1739130434782612</v>
      </c>
      <c r="F15">
        <f t="shared" si="3"/>
        <v>1.8315638888734179E-2</v>
      </c>
      <c r="G15" s="1">
        <f t="shared" si="4"/>
        <v>2.5222974835227223E-2</v>
      </c>
    </row>
    <row r="16" spans="1:17">
      <c r="A16">
        <v>15</v>
      </c>
      <c r="B16">
        <v>0.5</v>
      </c>
      <c r="C16">
        <f t="shared" si="0"/>
        <v>0.45999999999999996</v>
      </c>
      <c r="D16">
        <f t="shared" si="1"/>
        <v>2</v>
      </c>
      <c r="E16">
        <f t="shared" si="2"/>
        <v>2.1739130434782612</v>
      </c>
      <c r="F16">
        <f t="shared" si="3"/>
        <v>1.8315638888734179E-2</v>
      </c>
      <c r="G16" s="1">
        <f t="shared" si="4"/>
        <v>2.5222974835227223E-2</v>
      </c>
    </row>
    <row r="17" spans="1:7">
      <c r="A17">
        <v>16</v>
      </c>
      <c r="B17">
        <v>0.5</v>
      </c>
      <c r="C17">
        <f t="shared" si="0"/>
        <v>0.45999999999999996</v>
      </c>
      <c r="D17">
        <f t="shared" si="1"/>
        <v>2</v>
      </c>
      <c r="E17">
        <f t="shared" si="2"/>
        <v>2.1739130434782612</v>
      </c>
      <c r="F17">
        <f t="shared" si="3"/>
        <v>1.8315638888734179E-2</v>
      </c>
      <c r="G17" s="1">
        <f t="shared" si="4"/>
        <v>2.5222974835227223E-2</v>
      </c>
    </row>
    <row r="18" spans="1:7">
      <c r="A18">
        <v>17</v>
      </c>
      <c r="B18">
        <v>0.5</v>
      </c>
      <c r="C18">
        <f t="shared" si="0"/>
        <v>0.45999999999999996</v>
      </c>
      <c r="D18">
        <f t="shared" si="1"/>
        <v>2</v>
      </c>
      <c r="E18">
        <f t="shared" si="2"/>
        <v>2.1739130434782612</v>
      </c>
      <c r="F18">
        <f t="shared" si="3"/>
        <v>1.8315638888734179E-2</v>
      </c>
      <c r="G18" s="1">
        <f t="shared" si="4"/>
        <v>2.5222974835227223E-2</v>
      </c>
    </row>
    <row r="19" spans="1:7">
      <c r="A19">
        <v>18</v>
      </c>
      <c r="B19">
        <v>0.5</v>
      </c>
      <c r="C19">
        <f t="shared" si="0"/>
        <v>0.45999999999999996</v>
      </c>
      <c r="D19">
        <f t="shared" si="1"/>
        <v>2</v>
      </c>
      <c r="E19">
        <f t="shared" si="2"/>
        <v>2.1739130434782612</v>
      </c>
      <c r="F19">
        <f t="shared" si="3"/>
        <v>1.8315638888734179E-2</v>
      </c>
      <c r="G19" s="1">
        <f t="shared" si="4"/>
        <v>2.5222974835227223E-2</v>
      </c>
    </row>
    <row r="20" spans="1:7">
      <c r="A20">
        <v>19</v>
      </c>
      <c r="B20">
        <v>0.1</v>
      </c>
      <c r="C20">
        <f t="shared" si="0"/>
        <v>0.45999999999999996</v>
      </c>
      <c r="D20">
        <f t="shared" si="1"/>
        <v>10</v>
      </c>
      <c r="E20">
        <f t="shared" si="2"/>
        <v>2.1739130434782612</v>
      </c>
      <c r="F20">
        <f t="shared" si="3"/>
        <v>0.44932896411722156</v>
      </c>
      <c r="G20" s="1">
        <f t="shared" si="4"/>
        <v>2.5222974835227223E-2</v>
      </c>
    </row>
    <row r="21" spans="1:7">
      <c r="A21">
        <v>20</v>
      </c>
      <c r="B21">
        <v>0.1</v>
      </c>
      <c r="C21">
        <f t="shared" si="0"/>
        <v>0.45999999999999996</v>
      </c>
      <c r="D21">
        <f t="shared" si="1"/>
        <v>10</v>
      </c>
      <c r="E21">
        <f t="shared" si="2"/>
        <v>2.1739130434782612</v>
      </c>
      <c r="F21">
        <f t="shared" si="3"/>
        <v>0.44932896411722156</v>
      </c>
      <c r="G21" s="1">
        <f t="shared" si="4"/>
        <v>2.5222974835227223E-2</v>
      </c>
    </row>
    <row r="23" spans="1:7">
      <c r="A23" t="s">
        <v>3</v>
      </c>
      <c r="B23">
        <f>AVERAGE(B2:B21)</f>
        <v>0.45999999999999996</v>
      </c>
      <c r="C23">
        <f>AVERAGE(C2:C21)</f>
        <v>0.45999999999999996</v>
      </c>
    </row>
    <row r="25" spans="1:7">
      <c r="A25" t="s">
        <v>4</v>
      </c>
      <c r="D25">
        <f>SUM(D2:D21)</f>
        <v>56</v>
      </c>
      <c r="E25">
        <f>SUM(E2:E21)</f>
        <v>43.478260869565212</v>
      </c>
      <c r="F25">
        <f>SUM(F2:F21)</f>
        <v>1.2283394282316582</v>
      </c>
      <c r="G25">
        <f>SUM(G2:G21)</f>
        <v>0.50445949670454449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NWFSC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Jameal Samhouri</dc:creator>
  <cp:lastModifiedBy>Adrian Stier</cp:lastModifiedBy>
  <dcterms:created xsi:type="dcterms:W3CDTF">2015-08-27T22:03:48Z</dcterms:created>
  <dcterms:modified xsi:type="dcterms:W3CDTF">2015-09-03T03:00:42Z</dcterms:modified>
</cp:coreProperties>
</file>